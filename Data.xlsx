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aager\Desktop\"/>
    </mc:Choice>
  </mc:AlternateContent>
  <xr:revisionPtr revIDLastSave="0" documentId="13_ncr:1_{E2911796-2B88-48C0-8A34-3AAB9FB68B72}" xr6:coauthVersionLast="47" xr6:coauthVersionMax="47" xr10:uidLastSave="{00000000-0000-0000-0000-000000000000}"/>
  <bookViews>
    <workbookView xWindow="-110" yWindow="-110" windowWidth="19420" windowHeight="10420" xr2:uid="{F3DD8F3E-3D39-4B93-B3A4-1BE8235DBF5B}"/>
  </bookViews>
  <sheets>
    <sheet name="Demand and Forecast Data" sheetId="1" r:id="rId1"/>
    <sheet name="Planning Horizon Forecast" sheetId="2" r:id="rId2"/>
    <sheet name="KPI Analysis" sheetId="3" r:id="rId3"/>
    <sheet name="Operational Notes" sheetId="4" r:id="rId4"/>
    <sheet name="Cost Data"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5" l="1"/>
  <c r="F5" i="5"/>
  <c r="F4" i="5"/>
  <c r="F3" i="5"/>
  <c r="F2" i="5"/>
  <c r="E7" i="5"/>
  <c r="E6" i="5"/>
  <c r="E5" i="5"/>
  <c r="E4" i="5"/>
  <c r="E3" i="5"/>
  <c r="E2" i="5"/>
  <c r="I9" i="1"/>
  <c r="K9" i="1" s="1"/>
  <c r="I8" i="1"/>
  <c r="K8" i="1" s="1"/>
  <c r="I7" i="1"/>
  <c r="K7" i="1" s="1"/>
  <c r="I6" i="1"/>
  <c r="K6" i="1" s="1"/>
  <c r="I5" i="1"/>
  <c r="K5" i="1" s="1"/>
  <c r="I4" i="1"/>
  <c r="K4" i="1" s="1"/>
  <c r="I3" i="1"/>
  <c r="K3" i="1" s="1"/>
  <c r="I2" i="1"/>
  <c r="K2" i="1" s="1"/>
  <c r="H9" i="1"/>
  <c r="J9" i="1" s="1"/>
  <c r="H8" i="1"/>
  <c r="J8" i="1" s="1"/>
  <c r="H7" i="1"/>
  <c r="J7" i="1" s="1"/>
  <c r="H6" i="1"/>
  <c r="J6" i="1" s="1"/>
  <c r="H5" i="1"/>
  <c r="J5" i="1" s="1"/>
  <c r="H4" i="1"/>
  <c r="J4" i="1" s="1"/>
  <c r="H3" i="1"/>
  <c r="J3" i="1" s="1"/>
  <c r="H2" i="1"/>
  <c r="J2" i="1" s="1"/>
</calcChain>
</file>

<file path=xl/sharedStrings.xml><?xml version="1.0" encoding="utf-8"?>
<sst xmlns="http://schemas.openxmlformats.org/spreadsheetml/2006/main" count="158" uniqueCount="135">
  <si>
    <t>Week</t>
  </si>
  <si>
    <t>Forecast demand</t>
  </si>
  <si>
    <t>Actual customer orders</t>
  </si>
  <si>
    <t>Shipments</t>
  </si>
  <si>
    <t>Last year actual demand</t>
  </si>
  <si>
    <t>Promotion week</t>
  </si>
  <si>
    <t>Notes</t>
  </si>
  <si>
    <t>Week 1</t>
  </si>
  <si>
    <t>No</t>
  </si>
  <si>
    <t>Normal demand</t>
  </si>
  <si>
    <t>Week 2</t>
  </si>
  <si>
    <t>Week 3</t>
  </si>
  <si>
    <t>Yes</t>
  </si>
  <si>
    <t>Retail promotion moved forward</t>
  </si>
  <si>
    <t>Week 4</t>
  </si>
  <si>
    <t>Promotion continues</t>
  </si>
  <si>
    <t>Week 5</t>
  </si>
  <si>
    <t>Backorders increase</t>
  </si>
  <si>
    <t>Week 6</t>
  </si>
  <si>
    <t>Allocation in effect</t>
  </si>
  <si>
    <t>Week 7</t>
  </si>
  <si>
    <t>Regional weather event</t>
  </si>
  <si>
    <t>Week 8</t>
  </si>
  <si>
    <t>Competitor price increase</t>
  </si>
  <si>
    <t>Planning week</t>
  </si>
  <si>
    <t>Key planning note</t>
  </si>
  <si>
    <t>Week 9</t>
  </si>
  <si>
    <t>Promotional lift expected to normalize</t>
  </si>
  <si>
    <t>Week 10</t>
  </si>
  <si>
    <t>Retail replenishment remains elevated</t>
  </si>
  <si>
    <t>Week 11</t>
  </si>
  <si>
    <t>Supplier constraint expected to ease</t>
  </si>
  <si>
    <t>Week 12</t>
  </si>
  <si>
    <t>Packaging changeover completed</t>
  </si>
  <si>
    <t>Week 13</t>
  </si>
  <si>
    <t>Weather impact uncertain</t>
  </si>
  <si>
    <t>Week 14</t>
  </si>
  <si>
    <t>Direct-to-consumer demand expected to rise</t>
  </si>
  <si>
    <t>Week 15</t>
  </si>
  <si>
    <t>Retail service target remains high</t>
  </si>
  <si>
    <t>Week 16</t>
  </si>
  <si>
    <t>Normal demand expected</t>
  </si>
  <si>
    <t>Week 17</t>
  </si>
  <si>
    <t>Week 18</t>
  </si>
  <si>
    <t>Possible retailer display event</t>
  </si>
  <si>
    <t>Week 19</t>
  </si>
  <si>
    <t>Week 20</t>
  </si>
  <si>
    <t>Week 21</t>
  </si>
  <si>
    <t>Quarter-end service focus</t>
  </si>
  <si>
    <t>KPI</t>
  </si>
  <si>
    <t>Target</t>
  </si>
  <si>
    <t>Plant current result</t>
  </si>
  <si>
    <t>Distribution center current result</t>
  </si>
  <si>
    <t>Prior 4-week trend</t>
  </si>
  <si>
    <t>Service level</t>
  </si>
  <si>
    <t>Down</t>
  </si>
  <si>
    <t>Customer complaints increased</t>
  </si>
  <si>
    <t>OTIF</t>
  </si>
  <si>
    <t>Late and incomplete shipments increased</t>
  </si>
  <si>
    <t>Fill rate</t>
  </si>
  <si>
    <t>Weakest during promotion weeks</t>
  </si>
  <si>
    <t>Backorders</t>
  </si>
  <si>
    <t>Less than 500 units</t>
  </si>
  <si>
    <t>900 units</t>
  </si>
  <si>
    <t>2,400 units</t>
  </si>
  <si>
    <t>Up</t>
  </si>
  <si>
    <t>Concentrated in retail channel</t>
  </si>
  <si>
    <t>Inventory turn</t>
  </si>
  <si>
    <t>Inventory is moving more slowly</t>
  </si>
  <si>
    <t>Days of supply</t>
  </si>
  <si>
    <t>21 days</t>
  </si>
  <si>
    <t>18 days</t>
  </si>
  <si>
    <t>32 days</t>
  </si>
  <si>
    <t>Uneven</t>
  </si>
  <si>
    <t>Plant constrained, distribution center has wrong mix</t>
  </si>
  <si>
    <t>Schedule adherence</t>
  </si>
  <si>
    <t>Plant schedule disrupted</t>
  </si>
  <si>
    <t>Dock-to-stock time</t>
  </si>
  <si>
    <t>24 hours</t>
  </si>
  <si>
    <t>N/A</t>
  </si>
  <si>
    <t>38 hours</t>
  </si>
  <si>
    <t>Receiving delays on promotional items</t>
  </si>
  <si>
    <t>Carrier performance</t>
  </si>
  <si>
    <t>Capacity disruption in two regional lanes</t>
  </si>
  <si>
    <t>Meeting note</t>
  </si>
  <si>
    <t>Operational detail</t>
  </si>
  <si>
    <t>Timing</t>
  </si>
  <si>
    <t>Promotion timing change</t>
  </si>
  <si>
    <t>A major retailer moved a two-week EcoClean Pods promotion forward by one week.</t>
  </si>
  <si>
    <t>Weeks 3 and 4</t>
  </si>
  <si>
    <t>Supplier constraint</t>
  </si>
  <si>
    <t>One packaging supplier delivered late, reducing plant schedule flexibility.</t>
  </si>
  <si>
    <t>Weeks 4 through 6</t>
  </si>
  <si>
    <t>Packaging line changeover</t>
  </si>
  <si>
    <t>A packaging line changeover took longer than planned and increased scrap.</t>
  </si>
  <si>
    <t>Weeks 5 and 6</t>
  </si>
  <si>
    <t>Carrier capacity disruption</t>
  </si>
  <si>
    <t>Two regional lanes had lower carrier capacity, increasing expedited shipments.</t>
  </si>
  <si>
    <t>Weeks 6 through 8</t>
  </si>
  <si>
    <t>Weather swing</t>
  </si>
  <si>
    <t>Regional storms increased cleaning product demand in two markets.</t>
  </si>
  <si>
    <t>Weeks 7 and 8</t>
  </si>
  <si>
    <t>Competitor pricing move</t>
  </si>
  <si>
    <t>A competitor increased price in several retail markets.</t>
  </si>
  <si>
    <t>Cost bucket</t>
  </si>
  <si>
    <t>Planned cost</t>
  </si>
  <si>
    <t>Actual cost</t>
  </si>
  <si>
    <t>Variance</t>
  </si>
  <si>
    <t>Production</t>
  </si>
  <si>
    <t>$18,000 unfavorable</t>
  </si>
  <si>
    <t>Labor and overtime</t>
  </si>
  <si>
    <t>$28,000 unfavorable</t>
  </si>
  <si>
    <t>Scrap</t>
  </si>
  <si>
    <t>Warehousing</t>
  </si>
  <si>
    <t>$14,000 unfavorable</t>
  </si>
  <si>
    <t>Freight</t>
  </si>
  <si>
    <t>$46,000 unfavorable</t>
  </si>
  <si>
    <t>Total cost</t>
  </si>
  <si>
    <t>$124,000 unfavorable</t>
  </si>
  <si>
    <t>Suggested formulas</t>
  </si>
  <si>
    <t>Use these formulas if you need support for the analysis.</t>
  </si>
  <si>
    <t>Forecast error = Actual customer orders - Forecast demand</t>
  </si>
  <si>
    <t>Absolute error = Absolute value of forecast error</t>
  </si>
  <si>
    <t>Mean Absolute Error (MAE) = Sum of absolute errors ÷ Number of weeks</t>
  </si>
  <si>
    <t>Absolute percentage error = Absolute error ÷ actual customer orders.</t>
  </si>
  <si>
    <t>Mean Absolute Percentage Error (MAPE) = Average of absolute percentage error</t>
  </si>
  <si>
    <t>Weighted Absolute Percentage Error (WAPE) = Sum of absolute errors ÷ Sum of actual customer orders</t>
  </si>
  <si>
    <t>Cost variance = Actual cost - Planned cost</t>
  </si>
  <si>
    <t>Percentage variance = Cost variance ÷ Planned cost</t>
  </si>
  <si>
    <t>Forecast Error</t>
  </si>
  <si>
    <t>MAPE</t>
  </si>
  <si>
    <t>Shipment Shortfall</t>
  </si>
  <si>
    <t>Forecast accuracy was significantly worse during promotion weeks. Average MAPE increased from 6.25% in non-promotion weeks to 16.23% in promotion weeks, indicating that promotional activity made demand harder to predict.</t>
  </si>
  <si>
    <t>The distribution center is the main performance bottleneck. Service level, OTIF, and fill rate are all materially below target, while backorders are significantly above target. Despite having 32 days of supply, the DC continues to experience high backorders, indicating that inventory availability and mix—not only total inventory quantity—are contributing to the service problem. Upstream plant instability and DC receiving/carrier issues further amplify the problem.</t>
  </si>
  <si>
    <t>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</si>
</sst>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6">
    <font>
      <sz val="11"/>
      <color theme="1"/>
      <name val="Aptos Narrow"/>
      <family val="2"/>
      <scheme val="minor"/>
    </font>
    <font>
      <sz val="11"/>
      <color theme="1"/>
      <name val="Aptos Narrow"/>
      <family val="2"/>
      <scheme val="minor"/>
    </font>
    <font>
      <b/>
      <sz val="11"/>
      <color theme="1"/>
      <name val="Aptos Narrow"/>
      <family val="2"/>
      <scheme val="minor"/>
    </font>
    <font>
      <sz val="8"/>
      <color rgb="FF0D0F12"/>
      <name val="Arial"/>
      <family val="2"/>
    </font>
    <font>
      <b/>
      <sz val="8"/>
      <color rgb="FF0D0F12"/>
      <name val="Inherit"/>
    </font>
    <font>
      <b/>
      <sz val="8"/>
      <color rgb="FF0D0F12"/>
      <name val="Arial"/>
      <family val="2"/>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4" fillId="2" borderId="1" xfId="0" applyFont="1" applyFill="1" applyBorder="1" applyAlignment="1">
      <alignment horizontal="center" vertical="center"/>
    </xf>
    <xf numFmtId="0" fontId="0" fillId="0" borderId="0" xfId="0" applyAlignment="1">
      <alignment horizontal="center"/>
    </xf>
    <xf numFmtId="0" fontId="3" fillId="2" borderId="1" xfId="0" applyFont="1" applyFill="1" applyBorder="1" applyAlignment="1">
      <alignment horizontal="center" vertical="center"/>
    </xf>
    <xf numFmtId="3" fontId="3" fillId="2" borderId="1" xfId="0" applyNumberFormat="1" applyFont="1" applyFill="1" applyBorder="1" applyAlignment="1">
      <alignment horizontal="center" vertical="center"/>
    </xf>
    <xf numFmtId="9" fontId="3" fillId="2" borderId="1" xfId="0" applyNumberFormat="1" applyFont="1" applyFill="1" applyBorder="1" applyAlignment="1">
      <alignment horizontal="center" vertical="center"/>
    </xf>
    <xf numFmtId="6" fontId="3" fillId="2" borderId="1" xfId="0" applyNumberFormat="1" applyFont="1" applyFill="1" applyBorder="1" applyAlignment="1">
      <alignment horizontal="center" vertical="center"/>
    </xf>
    <xf numFmtId="0" fontId="4"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indent="1"/>
    </xf>
    <xf numFmtId="0" fontId="2" fillId="3" borderId="0" xfId="0" applyFont="1" applyFill="1" applyAlignment="1">
      <alignment horizontal="center"/>
    </xf>
    <xf numFmtId="10" fontId="0" fillId="0" borderId="0" xfId="1" applyNumberFormat="1" applyFont="1" applyAlignment="1">
      <alignment horizontal="center"/>
    </xf>
    <xf numFmtId="0" fontId="2" fillId="4" borderId="0" xfId="0" applyFont="1" applyFill="1" applyAlignment="1">
      <alignment horizontal="center"/>
    </xf>
    <xf numFmtId="0" fontId="2" fillId="0" borderId="0" xfId="0" applyFont="1" applyAlignment="1">
      <alignment horizontal="left" vertical="center" wrapText="1" indent="1"/>
    </xf>
    <xf numFmtId="0" fontId="5" fillId="2" borderId="1" xfId="0" applyFont="1" applyFill="1" applyBorder="1" applyAlignment="1">
      <alignment horizontal="center" vertical="center"/>
    </xf>
    <xf numFmtId="6" fontId="0" fillId="0" borderId="0" xfId="0" applyNumberFormat="1" applyAlignment="1">
      <alignment horizont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10" fontId="0" fillId="0" borderId="0" xfId="1" applyNumberFormat="1" applyFont="1"/>
    <xf numFmtId="3" fontId="0" fillId="0" borderId="0" xfId="0" applyNumberFormat="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1BEAF-67E6-492C-B166-A33BFACF064F}">
  <dimension ref="A1:O18"/>
  <sheetViews>
    <sheetView tabSelected="1" workbookViewId="0"/>
  </sheetViews>
  <sheetFormatPr defaultRowHeight="14.5"/>
  <cols>
    <col min="1" max="1" width="6.81640625" style="2" bestFit="1" customWidth="1"/>
    <col min="2" max="2" width="14.08984375" style="2" bestFit="1" customWidth="1"/>
    <col min="3" max="3" width="18.26953125" style="2" bestFit="1" customWidth="1"/>
    <col min="4" max="4" width="9.36328125" style="2" bestFit="1" customWidth="1"/>
    <col min="5" max="5" width="19" style="2" bestFit="1" customWidth="1"/>
    <col min="6" max="6" width="13.26953125" style="2" bestFit="1" customWidth="1"/>
    <col min="7" max="7" width="22.26953125" style="2" bestFit="1" customWidth="1"/>
    <col min="8" max="8" width="12.26953125" style="2" bestFit="1" customWidth="1"/>
    <col min="9" max="10" width="12" style="2" customWidth="1"/>
    <col min="11" max="11" width="16.6328125" style="2" bestFit="1" customWidth="1"/>
    <col min="12" max="12" width="16.6328125" style="2" customWidth="1"/>
    <col min="13" max="13" width="50.7265625" style="2" customWidth="1"/>
    <col min="14" max="14" width="16.6328125" style="2" customWidth="1"/>
    <col min="15" max="15" width="68.6328125" style="2" bestFit="1" customWidth="1"/>
    <col min="16" max="16384" width="8.7265625" style="2"/>
  </cols>
  <sheetData>
    <row r="1" spans="1:15">
      <c r="A1" s="1" t="s">
        <v>0</v>
      </c>
      <c r="B1" s="1" t="s">
        <v>1</v>
      </c>
      <c r="C1" s="1" t="s">
        <v>2</v>
      </c>
      <c r="D1" s="1" t="s">
        <v>3</v>
      </c>
      <c r="E1" s="1" t="s">
        <v>4</v>
      </c>
      <c r="F1" s="1" t="s">
        <v>5</v>
      </c>
      <c r="G1" s="1" t="s">
        <v>6</v>
      </c>
      <c r="H1" s="10" t="s">
        <v>129</v>
      </c>
      <c r="I1" s="10" t="s">
        <v>61</v>
      </c>
      <c r="J1" s="10" t="s">
        <v>130</v>
      </c>
      <c r="K1" s="10" t="s">
        <v>131</v>
      </c>
      <c r="L1" s="12"/>
      <c r="N1" s="12"/>
      <c r="O1" s="7" t="s">
        <v>119</v>
      </c>
    </row>
    <row r="2" spans="1:15">
      <c r="A2" s="3" t="s">
        <v>7</v>
      </c>
      <c r="B2" s="4">
        <v>9800</v>
      </c>
      <c r="C2" s="4">
        <v>10100</v>
      </c>
      <c r="D2" s="4">
        <v>10000</v>
      </c>
      <c r="E2" s="4">
        <v>9600</v>
      </c>
      <c r="F2" s="3" t="s">
        <v>8</v>
      </c>
      <c r="G2" s="3" t="s">
        <v>9</v>
      </c>
      <c r="H2" s="2">
        <f>ABS(B2-C2)</f>
        <v>300</v>
      </c>
      <c r="I2" s="2">
        <f>ABS(D2-C2)</f>
        <v>100</v>
      </c>
      <c r="J2" s="11">
        <f>H2/C2</f>
        <v>2.9702970297029702E-2</v>
      </c>
      <c r="K2" s="11">
        <f>I2/C2</f>
        <v>9.9009900990099011E-3</v>
      </c>
      <c r="L2" s="11"/>
      <c r="M2" s="11"/>
      <c r="N2" s="11"/>
      <c r="O2" s="8" t="s">
        <v>120</v>
      </c>
    </row>
    <row r="3" spans="1:15">
      <c r="A3" s="3" t="s">
        <v>10</v>
      </c>
      <c r="B3" s="4">
        <v>10000</v>
      </c>
      <c r="C3" s="4">
        <v>10300</v>
      </c>
      <c r="D3" s="4">
        <v>10200</v>
      </c>
      <c r="E3" s="4">
        <v>9700</v>
      </c>
      <c r="F3" s="3" t="s">
        <v>8</v>
      </c>
      <c r="G3" s="3" t="s">
        <v>9</v>
      </c>
      <c r="H3" s="2">
        <f t="shared" ref="H3:H9" si="0">ABS(B3-C3)</f>
        <v>300</v>
      </c>
      <c r="I3" s="2">
        <f t="shared" ref="I3:I9" si="1">ABS(D3-C3)</f>
        <v>100</v>
      </c>
      <c r="J3" s="11">
        <f t="shared" ref="J3:J9" si="2">H3/C3</f>
        <v>2.9126213592233011E-2</v>
      </c>
      <c r="K3" s="11">
        <f t="shared" ref="K3:K9" si="3">I3/C3</f>
        <v>9.7087378640776691E-3</v>
      </c>
      <c r="L3" s="11"/>
      <c r="M3" s="11"/>
      <c r="N3" s="11"/>
      <c r="O3" s="9" t="s">
        <v>121</v>
      </c>
    </row>
    <row r="4" spans="1:15">
      <c r="A4" s="3" t="s">
        <v>11</v>
      </c>
      <c r="B4" s="4">
        <v>10200</v>
      </c>
      <c r="C4" s="4">
        <v>12600</v>
      </c>
      <c r="D4" s="4">
        <v>11400</v>
      </c>
      <c r="E4" s="4">
        <v>9900</v>
      </c>
      <c r="F4" s="3" t="s">
        <v>12</v>
      </c>
      <c r="G4" s="3" t="s">
        <v>13</v>
      </c>
      <c r="H4" s="2">
        <f t="shared" si="0"/>
        <v>2400</v>
      </c>
      <c r="I4" s="2">
        <f t="shared" si="1"/>
        <v>1200</v>
      </c>
      <c r="J4" s="11">
        <f t="shared" si="2"/>
        <v>0.19047619047619047</v>
      </c>
      <c r="K4" s="11">
        <f t="shared" si="3"/>
        <v>9.5238095238095233E-2</v>
      </c>
      <c r="L4" s="11"/>
      <c r="M4" s="11"/>
      <c r="N4" s="11"/>
      <c r="O4" s="9" t="s">
        <v>122</v>
      </c>
    </row>
    <row r="5" spans="1:15">
      <c r="A5" s="3" t="s">
        <v>14</v>
      </c>
      <c r="B5" s="4">
        <v>10400</v>
      </c>
      <c r="C5" s="4">
        <v>13200</v>
      </c>
      <c r="D5" s="4">
        <v>11900</v>
      </c>
      <c r="E5" s="4">
        <v>10100</v>
      </c>
      <c r="F5" s="3" t="s">
        <v>12</v>
      </c>
      <c r="G5" s="3" t="s">
        <v>15</v>
      </c>
      <c r="H5" s="2">
        <f t="shared" si="0"/>
        <v>2800</v>
      </c>
      <c r="I5" s="2">
        <f t="shared" si="1"/>
        <v>1300</v>
      </c>
      <c r="J5" s="11">
        <f t="shared" si="2"/>
        <v>0.21212121212121213</v>
      </c>
      <c r="K5" s="11">
        <f t="shared" si="3"/>
        <v>9.8484848484848481E-2</v>
      </c>
      <c r="L5" s="11"/>
      <c r="M5" s="11"/>
      <c r="N5" s="11"/>
      <c r="O5" s="9" t="s">
        <v>123</v>
      </c>
    </row>
    <row r="6" spans="1:15">
      <c r="A6" s="3" t="s">
        <v>16</v>
      </c>
      <c r="B6" s="4">
        <v>10500</v>
      </c>
      <c r="C6" s="4">
        <v>11800</v>
      </c>
      <c r="D6" s="4">
        <v>10700</v>
      </c>
      <c r="E6" s="4">
        <v>10300</v>
      </c>
      <c r="F6" s="3" t="s">
        <v>8</v>
      </c>
      <c r="G6" s="3" t="s">
        <v>17</v>
      </c>
      <c r="H6" s="2">
        <f t="shared" si="0"/>
        <v>1300</v>
      </c>
      <c r="I6" s="2">
        <f t="shared" si="1"/>
        <v>1100</v>
      </c>
      <c r="J6" s="11">
        <f t="shared" si="2"/>
        <v>0.11016949152542373</v>
      </c>
      <c r="K6" s="11">
        <f t="shared" si="3"/>
        <v>9.3220338983050849E-2</v>
      </c>
      <c r="L6" s="11"/>
      <c r="M6" s="11"/>
      <c r="N6" s="11"/>
      <c r="O6" s="9" t="s">
        <v>124</v>
      </c>
    </row>
    <row r="7" spans="1:15">
      <c r="A7" s="3" t="s">
        <v>18</v>
      </c>
      <c r="B7" s="4">
        <v>10700</v>
      </c>
      <c r="C7" s="4">
        <v>9900</v>
      </c>
      <c r="D7" s="4">
        <v>9400</v>
      </c>
      <c r="E7" s="4">
        <v>10500</v>
      </c>
      <c r="F7" s="3" t="s">
        <v>8</v>
      </c>
      <c r="G7" s="3" t="s">
        <v>19</v>
      </c>
      <c r="H7" s="2">
        <f t="shared" si="0"/>
        <v>800</v>
      </c>
      <c r="I7" s="2">
        <f t="shared" si="1"/>
        <v>500</v>
      </c>
      <c r="J7" s="11">
        <f t="shared" si="2"/>
        <v>8.0808080808080815E-2</v>
      </c>
      <c r="K7" s="11">
        <f t="shared" si="3"/>
        <v>5.0505050505050504E-2</v>
      </c>
      <c r="L7" s="11"/>
      <c r="M7" s="11"/>
      <c r="N7" s="11"/>
      <c r="O7" s="9" t="s">
        <v>125</v>
      </c>
    </row>
    <row r="8" spans="1:15">
      <c r="A8" s="3" t="s">
        <v>20</v>
      </c>
      <c r="B8" s="4">
        <v>10900</v>
      </c>
      <c r="C8" s="4">
        <v>12300</v>
      </c>
      <c r="D8" s="4">
        <v>10800</v>
      </c>
      <c r="E8" s="4">
        <v>10700</v>
      </c>
      <c r="F8" s="3" t="s">
        <v>12</v>
      </c>
      <c r="G8" s="3" t="s">
        <v>21</v>
      </c>
      <c r="H8" s="2">
        <f t="shared" si="0"/>
        <v>1400</v>
      </c>
      <c r="I8" s="2">
        <f t="shared" si="1"/>
        <v>1500</v>
      </c>
      <c r="J8" s="11">
        <f t="shared" si="2"/>
        <v>0.11382113821138211</v>
      </c>
      <c r="K8" s="11">
        <f t="shared" si="3"/>
        <v>0.12195121951219512</v>
      </c>
      <c r="L8" s="11"/>
      <c r="M8" s="11"/>
      <c r="N8" s="11"/>
      <c r="O8" s="9" t="s">
        <v>126</v>
      </c>
    </row>
    <row r="9" spans="1:15">
      <c r="A9" s="3" t="s">
        <v>22</v>
      </c>
      <c r="B9" s="4">
        <v>11100</v>
      </c>
      <c r="C9" s="4">
        <v>12800</v>
      </c>
      <c r="D9" s="4">
        <v>11100</v>
      </c>
      <c r="E9" s="4">
        <v>10900</v>
      </c>
      <c r="F9" s="3" t="s">
        <v>12</v>
      </c>
      <c r="G9" s="3" t="s">
        <v>23</v>
      </c>
      <c r="H9" s="2">
        <f t="shared" si="0"/>
        <v>1700</v>
      </c>
      <c r="I9" s="2">
        <f t="shared" si="1"/>
        <v>1700</v>
      </c>
      <c r="J9" s="11">
        <f t="shared" si="2"/>
        <v>0.1328125</v>
      </c>
      <c r="K9" s="11">
        <f t="shared" si="3"/>
        <v>0.1328125</v>
      </c>
      <c r="L9" s="11"/>
      <c r="M9" s="11"/>
      <c r="N9" s="11"/>
      <c r="O9" s="9" t="s">
        <v>127</v>
      </c>
    </row>
    <row r="10" spans="1:15" ht="72.5">
      <c r="M10" s="13" t="s">
        <v>132</v>
      </c>
      <c r="O10" s="9" t="s">
        <v>128</v>
      </c>
    </row>
    <row r="11" spans="1:15">
      <c r="H11" s="19"/>
    </row>
    <row r="12" spans="1:15">
      <c r="H12" s="19"/>
    </row>
    <row r="13" spans="1:15">
      <c r="H13" s="19"/>
    </row>
    <row r="14" spans="1:15">
      <c r="H14" s="19"/>
    </row>
    <row r="15" spans="1:15">
      <c r="H15" s="19"/>
    </row>
    <row r="16" spans="1:15">
      <c r="H16" s="19"/>
    </row>
    <row r="17" spans="8:8">
      <c r="H17" s="19"/>
    </row>
    <row r="18" spans="8:8">
      <c r="H18" s="1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B5774-C1BC-447A-88F4-316735BEF7A2}">
  <dimension ref="A1:C14"/>
  <sheetViews>
    <sheetView workbookViewId="0">
      <selection activeCell="C3" sqref="C3"/>
    </sheetView>
  </sheetViews>
  <sheetFormatPr defaultRowHeight="14.5"/>
  <cols>
    <col min="1" max="1" width="11" bestFit="1" customWidth="1"/>
    <col min="2" max="2" width="13" bestFit="1" customWidth="1"/>
    <col min="3" max="3" width="29.36328125" bestFit="1" customWidth="1"/>
  </cols>
  <sheetData>
    <row r="1" spans="1:3">
      <c r="A1" s="1" t="s">
        <v>24</v>
      </c>
      <c r="B1" s="1" t="s">
        <v>1</v>
      </c>
      <c r="C1" s="1" t="s">
        <v>25</v>
      </c>
    </row>
    <row r="2" spans="1:3">
      <c r="A2" s="3" t="s">
        <v>26</v>
      </c>
      <c r="B2" s="4">
        <v>11200</v>
      </c>
      <c r="C2" s="3" t="s">
        <v>27</v>
      </c>
    </row>
    <row r="3" spans="1:3">
      <c r="A3" s="3" t="s">
        <v>28</v>
      </c>
      <c r="B3" s="4">
        <v>11300</v>
      </c>
      <c r="C3" s="3" t="s">
        <v>29</v>
      </c>
    </row>
    <row r="4" spans="1:3">
      <c r="A4" s="3" t="s">
        <v>30</v>
      </c>
      <c r="B4" s="4">
        <v>11400</v>
      </c>
      <c r="C4" s="3" t="s">
        <v>31</v>
      </c>
    </row>
    <row r="5" spans="1:3">
      <c r="A5" s="3" t="s">
        <v>32</v>
      </c>
      <c r="B5" s="4">
        <v>11500</v>
      </c>
      <c r="C5" s="3" t="s">
        <v>33</v>
      </c>
    </row>
    <row r="6" spans="1:3">
      <c r="A6" s="3" t="s">
        <v>34</v>
      </c>
      <c r="B6" s="4">
        <v>11600</v>
      </c>
      <c r="C6" s="3" t="s">
        <v>35</v>
      </c>
    </row>
    <row r="7" spans="1:3">
      <c r="A7" s="3" t="s">
        <v>36</v>
      </c>
      <c r="B7" s="4">
        <v>11700</v>
      </c>
      <c r="C7" s="3" t="s">
        <v>37</v>
      </c>
    </row>
    <row r="8" spans="1:3">
      <c r="A8" s="3" t="s">
        <v>38</v>
      </c>
      <c r="B8" s="4">
        <v>11800</v>
      </c>
      <c r="C8" s="3" t="s">
        <v>39</v>
      </c>
    </row>
    <row r="9" spans="1:3">
      <c r="A9" s="3" t="s">
        <v>40</v>
      </c>
      <c r="B9" s="4">
        <v>11900</v>
      </c>
      <c r="C9" s="3" t="s">
        <v>41</v>
      </c>
    </row>
    <row r="10" spans="1:3">
      <c r="A10" s="3" t="s">
        <v>42</v>
      </c>
      <c r="B10" s="4">
        <v>12000</v>
      </c>
      <c r="C10" s="3" t="s">
        <v>41</v>
      </c>
    </row>
    <row r="11" spans="1:3">
      <c r="A11" s="3" t="s">
        <v>43</v>
      </c>
      <c r="B11" s="4">
        <v>12100</v>
      </c>
      <c r="C11" s="3" t="s">
        <v>44</v>
      </c>
    </row>
    <row r="12" spans="1:3">
      <c r="A12" s="3" t="s">
        <v>45</v>
      </c>
      <c r="B12" s="4">
        <v>12200</v>
      </c>
      <c r="C12" s="3" t="s">
        <v>41</v>
      </c>
    </row>
    <row r="13" spans="1:3">
      <c r="A13" s="3" t="s">
        <v>46</v>
      </c>
      <c r="B13" s="4">
        <v>12300</v>
      </c>
      <c r="C13" s="3" t="s">
        <v>41</v>
      </c>
    </row>
    <row r="14" spans="1:3">
      <c r="A14" s="3" t="s">
        <v>47</v>
      </c>
      <c r="B14" s="4">
        <v>12400</v>
      </c>
      <c r="C14" s="3"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B441B-E841-47AE-AE07-5F95A81747E8}">
  <dimension ref="A1:F11"/>
  <sheetViews>
    <sheetView workbookViewId="0"/>
  </sheetViews>
  <sheetFormatPr defaultRowHeight="14.5"/>
  <cols>
    <col min="1" max="1" width="13.90625" bestFit="1" customWidth="1"/>
    <col min="2" max="2" width="13.08984375" bestFit="1" customWidth="1"/>
    <col min="3" max="3" width="14.08984375" bestFit="1" customWidth="1"/>
    <col min="4" max="4" width="23.54296875" bestFit="1" customWidth="1"/>
    <col min="5" max="5" width="13.54296875" bestFit="1" customWidth="1"/>
    <col min="6" max="6" width="60.90625" customWidth="1"/>
    <col min="8" max="8" width="68.81640625" customWidth="1"/>
  </cols>
  <sheetData>
    <row r="1" spans="1:6">
      <c r="A1" s="1" t="s">
        <v>49</v>
      </c>
      <c r="B1" s="1" t="s">
        <v>50</v>
      </c>
      <c r="C1" s="1" t="s">
        <v>51</v>
      </c>
      <c r="D1" s="1" t="s">
        <v>52</v>
      </c>
      <c r="E1" s="1" t="s">
        <v>53</v>
      </c>
      <c r="F1" s="1" t="s">
        <v>6</v>
      </c>
    </row>
    <row r="2" spans="1:6">
      <c r="A2" s="3" t="s">
        <v>54</v>
      </c>
      <c r="B2" s="5">
        <v>0.96</v>
      </c>
      <c r="C2" s="5">
        <v>0.94</v>
      </c>
      <c r="D2" s="5">
        <v>0.89</v>
      </c>
      <c r="E2" s="3" t="s">
        <v>55</v>
      </c>
      <c r="F2" s="3" t="s">
        <v>56</v>
      </c>
    </row>
    <row r="3" spans="1:6">
      <c r="A3" s="3" t="s">
        <v>57</v>
      </c>
      <c r="B3" s="5">
        <v>0.95</v>
      </c>
      <c r="C3" s="5">
        <v>0.93</v>
      </c>
      <c r="D3" s="5">
        <v>0.88</v>
      </c>
      <c r="E3" s="3" t="s">
        <v>55</v>
      </c>
      <c r="F3" s="3" t="s">
        <v>58</v>
      </c>
    </row>
    <row r="4" spans="1:6">
      <c r="A4" s="3" t="s">
        <v>59</v>
      </c>
      <c r="B4" s="5">
        <v>0.97</v>
      </c>
      <c r="C4" s="5">
        <v>0.95</v>
      </c>
      <c r="D4" s="5">
        <v>0.9</v>
      </c>
      <c r="E4" s="3" t="s">
        <v>55</v>
      </c>
      <c r="F4" s="3" t="s">
        <v>60</v>
      </c>
    </row>
    <row r="5" spans="1:6">
      <c r="A5" s="3" t="s">
        <v>61</v>
      </c>
      <c r="B5" s="3" t="s">
        <v>62</v>
      </c>
      <c r="C5" s="3" t="s">
        <v>63</v>
      </c>
      <c r="D5" s="3" t="s">
        <v>64</v>
      </c>
      <c r="E5" s="3" t="s">
        <v>65</v>
      </c>
      <c r="F5" s="3" t="s">
        <v>66</v>
      </c>
    </row>
    <row r="6" spans="1:6">
      <c r="A6" s="3" t="s">
        <v>67</v>
      </c>
      <c r="B6" s="3">
        <v>6</v>
      </c>
      <c r="C6" s="3">
        <v>5.8</v>
      </c>
      <c r="D6" s="3">
        <v>4.9000000000000004</v>
      </c>
      <c r="E6" s="3" t="s">
        <v>55</v>
      </c>
      <c r="F6" s="3" t="s">
        <v>68</v>
      </c>
    </row>
    <row r="7" spans="1:6">
      <c r="A7" s="3" t="s">
        <v>69</v>
      </c>
      <c r="B7" s="3" t="s">
        <v>70</v>
      </c>
      <c r="C7" s="3" t="s">
        <v>71</v>
      </c>
      <c r="D7" s="3" t="s">
        <v>72</v>
      </c>
      <c r="E7" s="3" t="s">
        <v>73</v>
      </c>
      <c r="F7" s="3" t="s">
        <v>74</v>
      </c>
    </row>
    <row r="8" spans="1:6">
      <c r="A8" s="3" t="s">
        <v>75</v>
      </c>
      <c r="B8" s="5">
        <v>0.95</v>
      </c>
      <c r="C8" s="5">
        <v>0.86</v>
      </c>
      <c r="D8" s="5">
        <v>0.91</v>
      </c>
      <c r="E8" s="3" t="s">
        <v>55</v>
      </c>
      <c r="F8" s="3" t="s">
        <v>76</v>
      </c>
    </row>
    <row r="9" spans="1:6">
      <c r="A9" s="3" t="s">
        <v>77</v>
      </c>
      <c r="B9" s="3" t="s">
        <v>78</v>
      </c>
      <c r="C9" s="3" t="s">
        <v>79</v>
      </c>
      <c r="D9" s="3" t="s">
        <v>80</v>
      </c>
      <c r="E9" s="3" t="s">
        <v>65</v>
      </c>
      <c r="F9" s="3" t="s">
        <v>81</v>
      </c>
    </row>
    <row r="10" spans="1:6">
      <c r="A10" s="3" t="s">
        <v>82</v>
      </c>
      <c r="B10" s="5">
        <v>0.95</v>
      </c>
      <c r="C10" s="3" t="s">
        <v>79</v>
      </c>
      <c r="D10" s="5">
        <v>0.92</v>
      </c>
      <c r="E10" s="3" t="s">
        <v>55</v>
      </c>
      <c r="F10" s="3" t="s">
        <v>83</v>
      </c>
    </row>
    <row r="11" spans="1:6" ht="116">
      <c r="F11" s="13" t="s">
        <v>133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06B0D-5F32-4ADE-9396-1BF76E84B864}">
  <dimension ref="A1:C7"/>
  <sheetViews>
    <sheetView workbookViewId="0"/>
  </sheetViews>
  <sheetFormatPr defaultRowHeight="14.5"/>
  <cols>
    <col min="1" max="1" width="18.08984375" bestFit="1" customWidth="1"/>
    <col min="2" max="2" width="54.453125" bestFit="1" customWidth="1"/>
    <col min="3" max="3" width="12.6328125" bestFit="1" customWidth="1"/>
  </cols>
  <sheetData>
    <row r="1" spans="1:3">
      <c r="A1" s="1" t="s">
        <v>84</v>
      </c>
      <c r="B1" s="1" t="s">
        <v>85</v>
      </c>
      <c r="C1" s="1" t="s">
        <v>86</v>
      </c>
    </row>
    <row r="2" spans="1:3">
      <c r="A2" s="3" t="s">
        <v>87</v>
      </c>
      <c r="B2" s="3" t="s">
        <v>88</v>
      </c>
      <c r="C2" s="3" t="s">
        <v>89</v>
      </c>
    </row>
    <row r="3" spans="1:3">
      <c r="A3" s="3" t="s">
        <v>90</v>
      </c>
      <c r="B3" s="3" t="s">
        <v>91</v>
      </c>
      <c r="C3" s="3" t="s">
        <v>92</v>
      </c>
    </row>
    <row r="4" spans="1:3">
      <c r="A4" s="3" t="s">
        <v>93</v>
      </c>
      <c r="B4" s="3" t="s">
        <v>94</v>
      </c>
      <c r="C4" s="3" t="s">
        <v>95</v>
      </c>
    </row>
    <row r="5" spans="1:3">
      <c r="A5" s="3" t="s">
        <v>96</v>
      </c>
      <c r="B5" s="3" t="s">
        <v>97</v>
      </c>
      <c r="C5" s="3" t="s">
        <v>98</v>
      </c>
    </row>
    <row r="6" spans="1:3">
      <c r="A6" s="3" t="s">
        <v>99</v>
      </c>
      <c r="B6" s="3" t="s">
        <v>100</v>
      </c>
      <c r="C6" s="3" t="s">
        <v>101</v>
      </c>
    </row>
    <row r="7" spans="1:3">
      <c r="A7" s="3" t="s">
        <v>102</v>
      </c>
      <c r="B7" s="3" t="s">
        <v>103</v>
      </c>
      <c r="C7" s="3" t="s">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B086A-19AF-461B-9852-5C0E99095D53}">
  <dimension ref="A1:F7"/>
  <sheetViews>
    <sheetView workbookViewId="0"/>
  </sheetViews>
  <sheetFormatPr defaultRowHeight="14.5"/>
  <cols>
    <col min="1" max="1" width="13.1796875" bestFit="1" customWidth="1"/>
    <col min="2" max="2" width="9.90625" bestFit="1" customWidth="1"/>
    <col min="3" max="3" width="8.54296875" bestFit="1" customWidth="1"/>
    <col min="4" max="4" width="14.6328125" bestFit="1" customWidth="1"/>
    <col min="5" max="5" width="9" bestFit="1" customWidth="1"/>
    <col min="6" max="6" width="11.08984375" customWidth="1"/>
  </cols>
  <sheetData>
    <row r="1" spans="1:6">
      <c r="A1" s="1" t="s">
        <v>104</v>
      </c>
      <c r="B1" s="1" t="s">
        <v>105</v>
      </c>
      <c r="C1" s="1" t="s">
        <v>106</v>
      </c>
      <c r="D1" s="1" t="s">
        <v>107</v>
      </c>
      <c r="E1" s="17" t="s">
        <v>107</v>
      </c>
      <c r="F1" s="16" t="s">
        <v>134</v>
      </c>
    </row>
    <row r="2" spans="1:6">
      <c r="A2" s="3" t="s">
        <v>108</v>
      </c>
      <c r="B2" s="6">
        <v>420000</v>
      </c>
      <c r="C2" s="6">
        <v>438000</v>
      </c>
      <c r="D2" s="3" t="s">
        <v>109</v>
      </c>
      <c r="E2" s="15">
        <f>C2-B2</f>
        <v>18000</v>
      </c>
      <c r="F2" s="18">
        <f>E2/$E$7</f>
        <v>0.14516129032258066</v>
      </c>
    </row>
    <row r="3" spans="1:6">
      <c r="A3" s="3" t="s">
        <v>110</v>
      </c>
      <c r="B3" s="6">
        <v>96000</v>
      </c>
      <c r="C3" s="6">
        <v>124000</v>
      </c>
      <c r="D3" s="3" t="s">
        <v>111</v>
      </c>
      <c r="E3" s="15">
        <f t="shared" ref="E3:E7" si="0">C3-B3</f>
        <v>28000</v>
      </c>
      <c r="F3" s="18">
        <f t="shared" ref="F3:F6" si="1">E3/$E$7</f>
        <v>0.22580645161290322</v>
      </c>
    </row>
    <row r="4" spans="1:6">
      <c r="A4" s="3" t="s">
        <v>112</v>
      </c>
      <c r="B4" s="6">
        <v>18000</v>
      </c>
      <c r="C4" s="6">
        <v>36000</v>
      </c>
      <c r="D4" s="3" t="s">
        <v>109</v>
      </c>
      <c r="E4" s="15">
        <f t="shared" si="0"/>
        <v>18000</v>
      </c>
      <c r="F4" s="18">
        <f t="shared" si="1"/>
        <v>0.14516129032258066</v>
      </c>
    </row>
    <row r="5" spans="1:6">
      <c r="A5" s="3" t="s">
        <v>113</v>
      </c>
      <c r="B5" s="6">
        <v>74000</v>
      </c>
      <c r="C5" s="6">
        <v>88000</v>
      </c>
      <c r="D5" s="3" t="s">
        <v>114</v>
      </c>
      <c r="E5" s="15">
        <f t="shared" si="0"/>
        <v>14000</v>
      </c>
      <c r="F5" s="18">
        <f t="shared" si="1"/>
        <v>0.11290322580645161</v>
      </c>
    </row>
    <row r="6" spans="1:6">
      <c r="A6" s="3" t="s">
        <v>115</v>
      </c>
      <c r="B6" s="6">
        <v>132000</v>
      </c>
      <c r="C6" s="6">
        <v>178000</v>
      </c>
      <c r="D6" s="3" t="s">
        <v>116</v>
      </c>
      <c r="E6" s="15">
        <f t="shared" si="0"/>
        <v>46000</v>
      </c>
      <c r="F6" s="18">
        <f t="shared" si="1"/>
        <v>0.37096774193548387</v>
      </c>
    </row>
    <row r="7" spans="1:6">
      <c r="A7" s="14" t="s">
        <v>117</v>
      </c>
      <c r="B7" s="6">
        <v>740000</v>
      </c>
      <c r="C7" s="6">
        <v>864000</v>
      </c>
      <c r="D7" s="3" t="s">
        <v>118</v>
      </c>
      <c r="E7" s="15">
        <f t="shared" si="0"/>
        <v>124000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Demand and Forecast Data</vt:lpstr>
      <vt:lpstr>Planning Horizon Forecast</vt:lpstr>
      <vt:lpstr>KPI Analysis</vt:lpstr>
      <vt:lpstr>Operational Notes</vt:lpstr>
      <vt:lpstr>Cost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Abdelaziz Ahmed</dc:creator>
  <cp:lastModifiedBy>Abdelaziz Ahmed</cp:lastModifiedBy>
  <dcterms:created xsi:type="dcterms:W3CDTF">2026-09-11T00:02:21Z</dcterms:created>
  <dcterms:modified xsi:type="dcterms:W3CDTF">2026-09-11T21:48:11Z</dcterms:modified>
</cp:coreProperties>
</file>